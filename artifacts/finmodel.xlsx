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мод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FF2E4078"/>
      <sz val="16"/>
    </font>
    <font>
      <b val="1"/>
      <color rgb="FFFFFFFF"/>
    </font>
    <font>
      <b val="1"/>
      <color rgb="FF2E4078"/>
    </font>
  </fonts>
  <fills count="5">
    <fill>
      <patternFill/>
    </fill>
    <fill>
      <patternFill patternType="gray125"/>
    </fill>
    <fill>
      <patternFill patternType="solid">
        <fgColor rgb="FF2E4078"/>
      </patternFill>
    </fill>
    <fill>
      <patternFill patternType="solid">
        <fgColor rgb="FFF2F5FB"/>
      </patternFill>
    </fill>
    <fill>
      <patternFill patternType="solid">
        <fgColor rgb="FFFF751F"/>
      </patternFill>
    </fill>
  </fills>
  <borders count="2">
    <border>
      <left/>
      <right/>
      <top/>
      <bottom/>
      <diagonal/>
    </border>
    <border>
      <left style="thin">
        <color rgb="FFC9D2E8"/>
      </left>
      <right style="thin">
        <color rgb="FFC9D2E8"/>
      </right>
      <top style="thin">
        <color rgb="FFC9D2E8"/>
      </top>
      <bottom style="thin">
        <color rgb="FFC9D2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0" fillId="3" borderId="1" pivotButton="0" quotePrefix="0" xfId="0"/>
    <xf numFmtId="0" fontId="2" fillId="4" borderId="1" pivotButton="0" quotePrefix="0" xfId="0"/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8" customHeight="1">
      <c r="A1" s="1" t="inlineStr">
        <is>
          <t>ФИНМОДЕЛЬ ШКОЛЫ ИИ — 12 МЕСЯЦЕВ</t>
        </is>
      </c>
    </row>
    <row r="3">
      <c r="A3" s="2" t="inlineStr">
        <is>
          <t>Показатель</t>
        </is>
      </c>
      <c r="B3" s="3" t="inlineStr">
        <is>
          <t>Янв</t>
        </is>
      </c>
      <c r="C3" s="3" t="inlineStr">
        <is>
          <t>Фев</t>
        </is>
      </c>
      <c r="D3" s="3" t="inlineStr">
        <is>
          <t>Мар</t>
        </is>
      </c>
      <c r="E3" s="3" t="inlineStr">
        <is>
          <t>Апр</t>
        </is>
      </c>
      <c r="F3" s="3" t="inlineStr">
        <is>
          <t>Май</t>
        </is>
      </c>
      <c r="G3" s="3" t="inlineStr">
        <is>
          <t>Июн</t>
        </is>
      </c>
      <c r="H3" s="3" t="inlineStr">
        <is>
          <t>Июл</t>
        </is>
      </c>
      <c r="I3" s="3" t="inlineStr">
        <is>
          <t>Авг</t>
        </is>
      </c>
      <c r="J3" s="3" t="inlineStr">
        <is>
          <t>Сен</t>
        </is>
      </c>
      <c r="K3" s="3" t="inlineStr">
        <is>
          <t>Окт</t>
        </is>
      </c>
      <c r="L3" s="3" t="inlineStr">
        <is>
          <t>Ноя</t>
        </is>
      </c>
      <c r="M3" s="3" t="inlineStr">
        <is>
          <t>Дек</t>
        </is>
      </c>
    </row>
    <row r="4">
      <c r="A4" s="4" t="inlineStr">
        <is>
          <t>Лиды</t>
        </is>
      </c>
      <c r="B4" s="5" t="n">
        <v>420</v>
      </c>
      <c r="C4" s="5" t="n">
        <v>465</v>
      </c>
      <c r="D4" s="5" t="n">
        <v>510</v>
      </c>
      <c r="E4" s="5" t="n">
        <v>580</v>
      </c>
      <c r="F4" s="5" t="n">
        <v>640</v>
      </c>
      <c r="G4" s="5" t="n">
        <v>700</v>
      </c>
      <c r="H4" s="5" t="n">
        <v>760</v>
      </c>
      <c r="I4" s="5" t="n">
        <v>830</v>
      </c>
      <c r="J4" s="5" t="n">
        <v>900</v>
      </c>
      <c r="K4" s="5" t="n">
        <v>980</v>
      </c>
      <c r="L4" s="5" t="n">
        <v>1060</v>
      </c>
      <c r="M4" s="5" t="n">
        <v>1150</v>
      </c>
    </row>
    <row r="5">
      <c r="A5" s="4" t="inlineStr">
        <is>
          <t>Конверсия, %</t>
        </is>
      </c>
      <c r="B5" s="6" t="n">
        <v>4.2</v>
      </c>
      <c r="C5" s="6" t="n">
        <v>4.5</v>
      </c>
      <c r="D5" s="6" t="n">
        <v>4.8</v>
      </c>
      <c r="E5" s="6" t="n">
        <v>5</v>
      </c>
      <c r="F5" s="6" t="n">
        <v>5.2</v>
      </c>
      <c r="G5" s="6" t="n">
        <v>5.4</v>
      </c>
      <c r="H5" s="6" t="n">
        <v>5.5</v>
      </c>
      <c r="I5" s="6" t="n">
        <v>5.7</v>
      </c>
      <c r="J5" s="6" t="n">
        <v>5.9</v>
      </c>
      <c r="K5" s="6" t="n">
        <v>6</v>
      </c>
      <c r="L5" s="6" t="n">
        <v>6.2</v>
      </c>
      <c r="M5" s="6" t="n">
        <v>6.4</v>
      </c>
    </row>
    <row r="6">
      <c r="A6" s="4" t="inlineStr">
        <is>
          <t>Средний чек, ₽</t>
        </is>
      </c>
      <c r="B6" s="7" t="n">
        <v>38000</v>
      </c>
      <c r="C6" s="7" t="n">
        <v>38000</v>
      </c>
      <c r="D6" s="7" t="n">
        <v>38000</v>
      </c>
      <c r="E6" s="7" t="n">
        <v>38000</v>
      </c>
      <c r="F6" s="7" t="n">
        <v>38000</v>
      </c>
      <c r="G6" s="7" t="n">
        <v>38000</v>
      </c>
      <c r="H6" s="7" t="n">
        <v>38000</v>
      </c>
      <c r="I6" s="7" t="n">
        <v>38000</v>
      </c>
      <c r="J6" s="7" t="n">
        <v>38000</v>
      </c>
      <c r="K6" s="7" t="n">
        <v>38000</v>
      </c>
      <c r="L6" s="7" t="n">
        <v>38000</v>
      </c>
      <c r="M6" s="7" t="n">
        <v>38000</v>
      </c>
    </row>
    <row r="7">
      <c r="A7" s="4" t="inlineStr">
        <is>
          <t>Расходы, ₽</t>
        </is>
      </c>
      <c r="B7" s="7" t="n">
        <v>180000</v>
      </c>
      <c r="C7" s="7" t="n">
        <v>190000</v>
      </c>
      <c r="D7" s="7" t="n">
        <v>205000</v>
      </c>
      <c r="E7" s="7" t="n">
        <v>220000</v>
      </c>
      <c r="F7" s="7" t="n">
        <v>235000</v>
      </c>
      <c r="G7" s="7" t="n">
        <v>250000</v>
      </c>
      <c r="H7" s="7" t="n">
        <v>265000</v>
      </c>
      <c r="I7" s="7" t="n">
        <v>280000</v>
      </c>
      <c r="J7" s="7" t="n">
        <v>295000</v>
      </c>
      <c r="K7" s="7" t="n">
        <v>310000</v>
      </c>
      <c r="L7" s="7" t="n">
        <v>325000</v>
      </c>
      <c r="M7" s="7" t="n">
        <v>340000</v>
      </c>
    </row>
    <row r="8">
      <c r="A8" s="4" t="inlineStr">
        <is>
          <t>Продажи</t>
        </is>
      </c>
      <c r="B8" s="5">
        <f>ROUND(B4*B5/100,0)</f>
        <v/>
      </c>
      <c r="C8" s="5">
        <f>ROUND(C4*C5/100,0)</f>
        <v/>
      </c>
      <c r="D8" s="5">
        <f>ROUND(D4*D5/100,0)</f>
        <v/>
      </c>
      <c r="E8" s="5">
        <f>ROUND(E4*E5/100,0)</f>
        <v/>
      </c>
      <c r="F8" s="5">
        <f>ROUND(F4*F5/100,0)</f>
        <v/>
      </c>
      <c r="G8" s="5">
        <f>ROUND(G4*G5/100,0)</f>
        <v/>
      </c>
      <c r="H8" s="5">
        <f>ROUND(H4*H5/100,0)</f>
        <v/>
      </c>
      <c r="I8" s="5">
        <f>ROUND(I4*I5/100,0)</f>
        <v/>
      </c>
      <c r="J8" s="5">
        <f>ROUND(J4*J5/100,0)</f>
        <v/>
      </c>
      <c r="K8" s="5">
        <f>ROUND(K4*K5/100,0)</f>
        <v/>
      </c>
      <c r="L8" s="5">
        <f>ROUND(L4*L5/100,0)</f>
        <v/>
      </c>
      <c r="M8" s="5">
        <f>ROUND(M4*M5/100,0)</f>
        <v/>
      </c>
    </row>
    <row r="9">
      <c r="A9" s="4" t="inlineStr">
        <is>
          <t>Выручка, ₽</t>
        </is>
      </c>
      <c r="B9" s="8">
        <f>B8*B6</f>
        <v/>
      </c>
      <c r="C9" s="8">
        <f>C8*C6</f>
        <v/>
      </c>
      <c r="D9" s="8">
        <f>D8*D6</f>
        <v/>
      </c>
      <c r="E9" s="8">
        <f>E8*E6</f>
        <v/>
      </c>
      <c r="F9" s="8">
        <f>F8*F6</f>
        <v/>
      </c>
      <c r="G9" s="8">
        <f>G8*G6</f>
        <v/>
      </c>
      <c r="H9" s="8">
        <f>H8*H6</f>
        <v/>
      </c>
      <c r="I9" s="8">
        <f>I8*I6</f>
        <v/>
      </c>
      <c r="J9" s="8">
        <f>J8*J6</f>
        <v/>
      </c>
      <c r="K9" s="8">
        <f>K8*K6</f>
        <v/>
      </c>
      <c r="L9" s="8">
        <f>L8*L6</f>
        <v/>
      </c>
      <c r="M9" s="8">
        <f>M8*M6</f>
        <v/>
      </c>
    </row>
    <row r="10">
      <c r="A10" s="9" t="inlineStr">
        <is>
          <t>Прибыль, ₽</t>
        </is>
      </c>
      <c r="B10" s="10">
        <f>B9-B7</f>
        <v/>
      </c>
      <c r="C10" s="10">
        <f>C9-C7</f>
        <v/>
      </c>
      <c r="D10" s="10">
        <f>D9-D7</f>
        <v/>
      </c>
      <c r="E10" s="10">
        <f>E9-E7</f>
        <v/>
      </c>
      <c r="F10" s="10">
        <f>F9-F7</f>
        <v/>
      </c>
      <c r="G10" s="10">
        <f>G9-G7</f>
        <v/>
      </c>
      <c r="H10" s="10">
        <f>H9-H7</f>
        <v/>
      </c>
      <c r="I10" s="10">
        <f>I9-I7</f>
        <v/>
      </c>
      <c r="J10" s="10">
        <f>J9-J7</f>
        <v/>
      </c>
      <c r="K10" s="10">
        <f>K9-K7</f>
        <v/>
      </c>
      <c r="L10" s="10">
        <f>L9-L7</f>
        <v/>
      </c>
      <c r="M10" s="10">
        <f>M9-M7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2026-08-26T17:50:31Z</dcterms:created>
  <dcterms:modified xmlns:dcterms="http://purl.org/dc/terms/" xmlns:xsi="http://www.w3.org/2001/XMLSchema-instance" xsi:type="dcterms:W3CDTF">2026-08-26T17:50:31Z</dcterms:modified>
</cp:coreProperties>
</file>